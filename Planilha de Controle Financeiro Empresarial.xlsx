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\Documents\Documentos\ESTUDOS CONTABILIDADE\Udemy-Contabilidade\Materiais+de+apoio+\"/>
    </mc:Choice>
  </mc:AlternateContent>
  <xr:revisionPtr revIDLastSave="0" documentId="13_ncr:1_{5A33E6E7-A8FF-4E0C-8407-ABFE8B2274FD}" xr6:coauthVersionLast="47" xr6:coauthVersionMax="47" xr10:uidLastSave="{00000000-0000-0000-0000-000000000000}"/>
  <bookViews>
    <workbookView xWindow="20370" yWindow="-120" windowWidth="20730" windowHeight="11160" firstSheet="3" activeTab="5" xr2:uid="{D329DBC5-77D5-419A-9259-A65BAA9F0FA8}"/>
  </bookViews>
  <sheets>
    <sheet name="Contas a Pagar" sheetId="1" r:id="rId1"/>
    <sheet name="Resumo-Pagar" sheetId="11" r:id="rId2"/>
    <sheet name="Indicadores-Pagar" sheetId="12" r:id="rId3"/>
    <sheet name="Contas a Receber" sheetId="2" r:id="rId4"/>
    <sheet name="Resumo-Receber" sheetId="9" r:id="rId5"/>
    <sheet name="Indicadores-Receber" sheetId="10" r:id="rId6"/>
    <sheet name="Resumo Anual" sheetId="8" state="hidden" r:id="rId7"/>
  </sheets>
  <calcPr calcId="191029"/>
  <pivotCaches>
    <pivotCache cacheId="0" r:id="rId8"/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2" i="1"/>
  <c r="H4" i="1"/>
  <c r="H5" i="1"/>
  <c r="H6" i="1"/>
  <c r="H7" i="1"/>
  <c r="H2" i="2"/>
  <c r="H3" i="2"/>
  <c r="H4" i="2"/>
  <c r="H5" i="2"/>
  <c r="H6" i="2"/>
  <c r="H7" i="2"/>
  <c r="H8" i="2"/>
  <c r="H9" i="2"/>
  <c r="H10" i="2"/>
  <c r="I2" i="1"/>
  <c r="B2" i="12" s="1"/>
  <c r="I3" i="1"/>
  <c r="I4" i="1"/>
  <c r="I5" i="1"/>
  <c r="I6" i="1"/>
  <c r="I7" i="1"/>
  <c r="J3" i="2"/>
  <c r="J4" i="2"/>
  <c r="J5" i="2"/>
  <c r="J6" i="2"/>
  <c r="J7" i="2"/>
  <c r="J8" i="2"/>
  <c r="J2" i="2"/>
  <c r="B4" i="12" l="1"/>
  <c r="B3" i="12"/>
  <c r="B6" i="12" s="1"/>
  <c r="B4" i="10"/>
  <c r="B3" i="10"/>
  <c r="B2" i="10"/>
  <c r="B7" i="8"/>
  <c r="B2" i="8"/>
  <c r="B4" i="8"/>
  <c r="B11" i="8"/>
  <c r="B6" i="8"/>
  <c r="B13" i="8"/>
  <c r="B5" i="8"/>
  <c r="B5" i="12" l="1"/>
  <c r="B6" i="10"/>
  <c r="B5" i="10" s="1"/>
  <c r="B8" i="8"/>
  <c r="B9" i="8"/>
  <c r="B12" i="8"/>
  <c r="B10" i="8"/>
  <c r="B3" i="8"/>
  <c r="B14" i="8" l="1"/>
</calcChain>
</file>

<file path=xl/sharedStrings.xml><?xml version="1.0" encoding="utf-8"?>
<sst xmlns="http://schemas.openxmlformats.org/spreadsheetml/2006/main" count="138" uniqueCount="81">
  <si>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</si>
  <si>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</si>
  <si>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</si>
  <si>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</si>
  <si>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</si>
  <si>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</si>
  <si>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</si>
  <si>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</si>
  <si>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</si>
  <si>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</si>
  <si>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</si>
  <si>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</si>
  <si>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</si>
  <si>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 xml:space="preserve">Acumulado no Ano </t>
  </si>
  <si>
    <t xml:space="preserve">RESUMO </t>
  </si>
  <si>
    <t>LUCRO/PREJUIZO</t>
  </si>
  <si>
    <t>Data de Emissão</t>
  </si>
  <si>
    <t>Cliente</t>
  </si>
  <si>
    <t>Descrição</t>
  </si>
  <si>
    <t>Valor</t>
  </si>
  <si>
    <t>Vencimento</t>
  </si>
  <si>
    <t>Status</t>
  </si>
  <si>
    <t>Tech Solutions Ltda</t>
  </si>
  <si>
    <t>Consultoria TI</t>
  </si>
  <si>
    <t>Recebido</t>
  </si>
  <si>
    <t>Padaria Pão de Mel</t>
  </si>
  <si>
    <t>Fornecimento Mensal</t>
  </si>
  <si>
    <t>Pendente</t>
  </si>
  <si>
    <t>Supermercado Silva</t>
  </si>
  <si>
    <t>Venda de Mercadorias</t>
  </si>
  <si>
    <t>Academia Fit Life</t>
  </si>
  <si>
    <t>Plano Corporativo</t>
  </si>
  <si>
    <t>Clínica Sorriso</t>
  </si>
  <si>
    <t>Serviços de Auditoria</t>
  </si>
  <si>
    <t>Posto Central</t>
  </si>
  <si>
    <t>Combustível Frotas</t>
  </si>
  <si>
    <t>Fornecedor</t>
  </si>
  <si>
    <t>Imobiliária Bahia</t>
  </si>
  <si>
    <t>Aluguel Escritório</t>
  </si>
  <si>
    <t>Pago</t>
  </si>
  <si>
    <t>Coelba</t>
  </si>
  <si>
    <t>Energia Elétrica</t>
  </si>
  <si>
    <t>Receita Federal</t>
  </si>
  <si>
    <t>Simples Nacional</t>
  </si>
  <si>
    <t>Papelaria Grafite</t>
  </si>
  <si>
    <t>Material de Escritório</t>
  </si>
  <si>
    <t>Soft Systems</t>
  </si>
  <si>
    <t>Assinatura ERP</t>
  </si>
  <si>
    <t>Limpeza &amp; Cia</t>
  </si>
  <si>
    <t>Serviços de Conservação</t>
  </si>
  <si>
    <t>Categoria</t>
  </si>
  <si>
    <t>Serviços</t>
  </si>
  <si>
    <t>ID</t>
  </si>
  <si>
    <t>Forma de Pagamento</t>
  </si>
  <si>
    <t>Observação</t>
  </si>
  <si>
    <t>PIX</t>
  </si>
  <si>
    <t>Boleto</t>
  </si>
  <si>
    <t>Transferência</t>
  </si>
  <si>
    <t>Pago antecipado</t>
  </si>
  <si>
    <t>Rótulos de Linha</t>
  </si>
  <si>
    <t>Total Geral</t>
  </si>
  <si>
    <t>Soma de Valor</t>
  </si>
  <si>
    <t>(vazio)</t>
  </si>
  <si>
    <t>Total Recebido</t>
  </si>
  <si>
    <t>Total a Receber</t>
  </si>
  <si>
    <t>Em Atraso</t>
  </si>
  <si>
    <t>% Inadimplência</t>
  </si>
  <si>
    <t>Indicadores</t>
  </si>
  <si>
    <t>Valores</t>
  </si>
  <si>
    <t>Benefícios</t>
  </si>
  <si>
    <t>Combustível</t>
  </si>
  <si>
    <t>Dias para Vencer</t>
  </si>
  <si>
    <t>Cartão</t>
  </si>
  <si>
    <t>Pagamento Atrasado</t>
  </si>
  <si>
    <t>Pagamento Adiantado</t>
  </si>
  <si>
    <t>Data a Pagar</t>
  </si>
  <si>
    <t>Data a Receber</t>
  </si>
  <si>
    <t>Vencido</t>
  </si>
  <si>
    <t>Contagem de Valor</t>
  </si>
  <si>
    <t>Total a Pagar</t>
  </si>
  <si>
    <t>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</si>
</sst>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[$R$-416]\ * #,##0_-;\-[$R$-416]\ * #,##0_-;_-[$R$-416]\ * &quot;-&quot;??_-;_-@_-"/>
    <numFmt numFmtId="166" formatCode="&quot;R$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44" fontId="0" fillId="0" borderId="1" xfId="0" applyNumberFormat="1" applyBorder="1"/>
    <xf numFmtId="44" fontId="2" fillId="0" borderId="1" xfId="0" applyNumberFormat="1" applyFont="1" applyBorder="1"/>
    <xf numFmtId="0" fontId="4" fillId="2" borderId="0" xfId="0" applyFont="1" applyFill="1"/>
    <xf numFmtId="0" fontId="0" fillId="3" borderId="1" xfId="0" applyFill="1" applyBorder="1"/>
    <xf numFmtId="0" fontId="2" fillId="3" borderId="1" xfId="0" applyFont="1" applyFill="1" applyBorder="1"/>
    <xf numFmtId="14" fontId="0" fillId="0" borderId="1" xfId="0" applyNumberFormat="1" applyFont="1" applyFill="1" applyBorder="1"/>
    <xf numFmtId="0" fontId="0" fillId="0" borderId="1" xfId="0" applyFont="1" applyFill="1" applyBorder="1"/>
    <xf numFmtId="14" fontId="1" fillId="0" borderId="1" xfId="1" applyNumberFormat="1" applyFont="1" applyFill="1" applyBorder="1"/>
    <xf numFmtId="0" fontId="0" fillId="0" borderId="1" xfId="0" applyFont="1" applyFill="1" applyBorder="1" applyAlignment="1">
      <alignment horizontal="center"/>
    </xf>
    <xf numFmtId="0" fontId="0" fillId="0" borderId="0" xfId="0" applyNumberFormat="1"/>
    <xf numFmtId="0" fontId="0" fillId="0" borderId="1" xfId="0" applyBorder="1" applyAlignment="1">
      <alignment horizontal="center"/>
    </xf>
    <xf numFmtId="14" fontId="0" fillId="0" borderId="8" xfId="0" applyNumberFormat="1" applyFont="1" applyFill="1" applyBorder="1"/>
    <xf numFmtId="14" fontId="1" fillId="0" borderId="8" xfId="1" applyNumberFormat="1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/>
    <xf numFmtId="165" fontId="0" fillId="0" borderId="0" xfId="1" applyNumberFormat="1" applyFont="1"/>
    <xf numFmtId="10" fontId="0" fillId="0" borderId="0" xfId="0" applyNumberFormat="1"/>
    <xf numFmtId="9" fontId="0" fillId="0" borderId="0" xfId="2" applyNumberFormat="1" applyFont="1"/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44" fontId="1" fillId="0" borderId="1" xfId="1" applyNumberFormat="1" applyFont="1" applyFill="1" applyBorder="1"/>
    <xf numFmtId="0" fontId="0" fillId="0" borderId="7" xfId="0" applyNumberFormat="1" applyFont="1" applyFill="1" applyBorder="1" applyAlignment="1">
      <alignment horizontal="center" vertical="center"/>
    </xf>
    <xf numFmtId="44" fontId="1" fillId="0" borderId="8" xfId="1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1" fillId="0" borderId="1" xfId="1" applyNumberFormat="1" applyFont="1" applyFill="1" applyBorder="1" applyAlignment="1">
      <alignment horizontal="right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8" xfId="1" applyNumberFormat="1" applyFont="1" applyFill="1" applyBorder="1" applyAlignment="1">
      <alignment horizontal="center" vertical="center"/>
    </xf>
    <xf numFmtId="44" fontId="1" fillId="0" borderId="1" xfId="1" applyFont="1" applyFill="1" applyBorder="1" applyAlignment="1">
      <alignment horizontal="center"/>
    </xf>
    <xf numFmtId="44" fontId="1" fillId="0" borderId="8" xfId="1" applyFont="1" applyFill="1" applyBorder="1" applyAlignment="1">
      <alignment horizontal="center"/>
    </xf>
    <xf numFmtId="44" fontId="5" fillId="0" borderId="2" xfId="1" applyFon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14" fontId="1" fillId="0" borderId="1" xfId="1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44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165" fontId="1" fillId="0" borderId="1" xfId="1" applyNumberFormat="1" applyFont="1" applyBorder="1" applyAlignment="1">
      <alignment horizontal="center"/>
    </xf>
    <xf numFmtId="14" fontId="1" fillId="0" borderId="1" xfId="1" applyNumberFormat="1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1" applyNumberFormat="1" applyFont="1" applyFill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166" fontId="0" fillId="0" borderId="0" xfId="0" applyNumberFormat="1"/>
    <xf numFmtId="9" fontId="0" fillId="0" borderId="0" xfId="0" applyNumberFormat="1"/>
    <xf numFmtId="165" fontId="0" fillId="0" borderId="0" xfId="1" applyNumberFormat="1" applyFont="1" applyFill="1" applyBorder="1"/>
  </cellXfs>
  <cellStyles count="3">
    <cellStyle name="Moeda" xfId="1" builtinId="4"/>
    <cellStyle name="Normal" xfId="0" builtinId="0"/>
    <cellStyle name="Vírgula" xfId="2" builtinId="3"/>
  </cellStyles>
  <dxfs count="49">
    <dxf>
      <numFmt numFmtId="165" formatCode="_-[$R$-416]\ * #,##0_-;\-[$R$-416]\ * #,##0_-;_-[$R$-416]\ * &quot;-&quot;??_-;_-@_-"/>
    </dxf>
    <dxf>
      <numFmt numFmtId="166" formatCode="&quot;R$&quot;\ #,##0"/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12"/>
        <color theme="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[$R$-416]\ * #,##0_-;\-[$R$-416]\ * #,##0_-;_-[$R$-416]\ * &quot;-&quot;??_-;_-@_-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</font>
      <numFmt numFmtId="19" formatCode="dd/mm/yyyy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7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theme="7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theme="7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theme="7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theme="7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theme="7" tint="0.79998168889431442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7" tint="0.79998168889431442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son Júnior" refreshedDate="46132.720009375" createdVersion="8" refreshedVersion="8" minRefreshableVersion="3" recordCount="15" xr:uid="{EBDE4FCF-D8E4-4AFF-8918-1A1FC36B92DF}">
  <cacheSource type="worksheet">
    <worksheetSource name="tb_receber"/>
  </cacheSource>
  <cacheFields count="11">
    <cacheField name="ID" numFmtId="1">
      <sharedItems containsSemiMixedTypes="0" containsString="0" containsNumber="1" containsInteger="1" minValue="1" maxValue="15"/>
    </cacheField>
    <cacheField name="Data de Emissão" numFmtId="14">
      <sharedItems containsNonDate="0" containsDate="1" containsString="0" containsBlank="1" minDate="2026-04-01T00:00:00" maxDate="2026-04-11T00:00:00"/>
    </cacheField>
    <cacheField name="Cliente" numFmtId="0">
      <sharedItems containsBlank="1"/>
    </cacheField>
    <cacheField name="Descrição" numFmtId="0">
      <sharedItems containsBlank="1"/>
    </cacheField>
    <cacheField name="Categoria" numFmtId="0">
      <sharedItems containsBlank="1" count="2">
        <s v="Serviços"/>
        <m/>
      </sharedItems>
    </cacheField>
    <cacheField name="Valor" numFmtId="0">
      <sharedItems containsString="0" containsBlank="1" containsNumber="1" containsInteger="1" minValue="1200" maxValue="8750" count="7">
        <n v="4500"/>
        <n v="1200"/>
        <n v="8750"/>
        <n v="2300"/>
        <n v="3100"/>
        <n v="1850"/>
        <m/>
      </sharedItems>
    </cacheField>
    <cacheField name="Vencimento" numFmtId="14">
      <sharedItems containsNonDate="0" containsDate="1" containsString="0" containsBlank="1" minDate="2026-04-15T00:00:00" maxDate="2026-05-24T00:00:00"/>
    </cacheField>
    <cacheField name="Data Recebimento" numFmtId="14">
      <sharedItems containsNonDate="0" containsDate="1" containsString="0" containsBlank="1" minDate="2026-04-14T00:00:00" maxDate="2026-04-30T00:00:00" count="5">
        <d v="2026-04-14T00:00:00"/>
        <m/>
        <d v="2026-04-20T00:00:00"/>
        <d v="2026-04-28T00:00:00"/>
        <d v="2026-04-29T00:00:00"/>
      </sharedItems>
    </cacheField>
    <cacheField name="Status" numFmtId="0">
      <sharedItems containsBlank="1" count="4">
        <s v="Recebido"/>
        <s v="Pendente"/>
        <s v="Vencimento"/>
        <m/>
      </sharedItems>
    </cacheField>
    <cacheField name="Forma de Pagamento" numFmtId="0">
      <sharedItems containsBlank="1"/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son Júnior" refreshedDate="46134.66018796296" createdVersion="8" refreshedVersion="8" minRefreshableVersion="3" recordCount="6" xr:uid="{4A5DD649-AC97-4CD9-A93C-C1E16FB364BE}">
  <cacheSource type="worksheet">
    <worksheetSource name="tb_pagar"/>
  </cacheSource>
  <cacheFields count="11">
    <cacheField name="ID" numFmtId="0">
      <sharedItems containsSemiMixedTypes="0" containsString="0" containsNumber="1" containsInteger="1" minValue="1" maxValue="6"/>
    </cacheField>
    <cacheField name="Data de Emissão" numFmtId="14">
      <sharedItems containsSemiMixedTypes="0" containsNonDate="0" containsDate="1" containsString="0" minDate="2026-04-01T00:00:00" maxDate="2026-04-21T00:00:00"/>
    </cacheField>
    <cacheField name="Fornecedor" numFmtId="0">
      <sharedItems/>
    </cacheField>
    <cacheField name="Descrição" numFmtId="0">
      <sharedItems count="6">
        <s v="Aluguel Escritório"/>
        <s v="Energia Elétrica"/>
        <s v="Simples Nacional"/>
        <s v="Material de Escritório"/>
        <s v="Assinatura ERP"/>
        <s v="Serviços de Conservação"/>
      </sharedItems>
    </cacheField>
    <cacheField name="Valor" numFmtId="44">
      <sharedItems containsSemiMixedTypes="0" containsString="0" containsNumber="1" containsInteger="1" minValue="320" maxValue="3500"/>
    </cacheField>
    <cacheField name="Vencimento" numFmtId="14">
      <sharedItems containsSemiMixedTypes="0" containsNonDate="0" containsDate="1" containsString="0" minDate="2026-04-13T00:00:00" maxDate="2026-05-16T00:00:00" count="5">
        <d v="2026-04-13T00:00:00"/>
        <d v="2026-04-18T00:00:00"/>
        <d v="2026-04-20T00:00:00"/>
        <d v="2026-05-15T00:00:00"/>
        <d v="2026-05-05T00:00:00"/>
      </sharedItems>
    </cacheField>
    <cacheField name="Data a Pagar" numFmtId="14">
      <sharedItems containsNonDate="0" containsDate="1" containsString="0" containsBlank="1" minDate="2026-04-12T00:00:00" maxDate="2026-04-23T00:00:00" count="4">
        <d v="2026-04-12T00:00:00"/>
        <d v="2026-04-15T00:00:00"/>
        <m/>
        <d v="2026-04-22T00:00:00"/>
      </sharedItems>
    </cacheField>
    <cacheField name="Dias para Vencer" numFmtId="0">
      <sharedItems containsMixedTypes="1" containsNumber="1" containsInteger="1" minValue="0" maxValue="23"/>
    </cacheField>
    <cacheField name="Status" numFmtId="0">
      <sharedItems count="3">
        <s v="Pago"/>
        <s v="Vencido"/>
        <s v="Pendente"/>
      </sharedItems>
    </cacheField>
    <cacheField name="Forma de Pagamento" numFmtId="44">
      <sharedItems containsBlank="1"/>
    </cacheField>
    <cacheField name="Observação" numFmtId="44">
      <sharedItems containsBlank="1"/>
    </cacheField>
  </cacheFields>
  <extLst>
    <ext xmlns:x14="http://schemas.microsoft.com/office/spreadsheetml/2009/9/main" uri="{725AE2AE-9491-48be-B2B4-4EB974FC3084}">
      <x14:pivotCacheDefinition pivotCacheId="9138124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6-04-01T00:00:00"/>
    <s v="Tech Solutions Ltda"/>
    <s v="Consultoria TI"/>
    <x v="0"/>
    <x v="0"/>
    <d v="2026-04-15T00:00:00"/>
    <x v="0"/>
    <x v="0"/>
    <s v="PIX"/>
    <s v="Pago antecipado"/>
  </r>
  <r>
    <n v="2"/>
    <d v="2026-04-05T00:00:00"/>
    <s v="Padaria Pão de Mel"/>
    <s v="Fornecimento Mensal"/>
    <x v="1"/>
    <x v="1"/>
    <d v="2026-05-05T00:00:00"/>
    <x v="1"/>
    <x v="1"/>
    <s v="Boleto"/>
    <m/>
  </r>
  <r>
    <n v="3"/>
    <d v="2026-04-10T00:00:00"/>
    <s v="Supermercado Silva"/>
    <s v="Venda de Mercadorias"/>
    <x v="1"/>
    <x v="2"/>
    <d v="2026-04-20T00:00:00"/>
    <x v="2"/>
    <x v="0"/>
    <m/>
    <m/>
  </r>
  <r>
    <n v="4"/>
    <m/>
    <s v="Academia Fit Life"/>
    <s v="Plano Corporativo"/>
    <x v="1"/>
    <x v="3"/>
    <d v="2026-05-12T00:00:00"/>
    <x v="3"/>
    <x v="1"/>
    <s v="Transferência"/>
    <m/>
  </r>
  <r>
    <n v="5"/>
    <m/>
    <s v="Clínica Sorriso"/>
    <s v="Serviços de Auditoria"/>
    <x v="1"/>
    <x v="4"/>
    <d v="2026-04-30T00:00:00"/>
    <x v="3"/>
    <x v="1"/>
    <m/>
    <m/>
  </r>
  <r>
    <n v="6"/>
    <m/>
    <s v="Posto Central"/>
    <s v="Combustível Frotas"/>
    <x v="1"/>
    <x v="5"/>
    <d v="2026-05-18T00:00:00"/>
    <x v="1"/>
    <x v="1"/>
    <m/>
    <m/>
  </r>
  <r>
    <n v="7"/>
    <m/>
    <m/>
    <m/>
    <x v="1"/>
    <x v="6"/>
    <d v="2026-05-19T00:00:00"/>
    <x v="4"/>
    <x v="2"/>
    <m/>
    <m/>
  </r>
  <r>
    <n v="8"/>
    <m/>
    <m/>
    <m/>
    <x v="1"/>
    <x v="6"/>
    <d v="2026-05-20T00:00:00"/>
    <x v="1"/>
    <x v="3"/>
    <m/>
    <m/>
  </r>
  <r>
    <n v="9"/>
    <m/>
    <m/>
    <m/>
    <x v="1"/>
    <x v="6"/>
    <d v="2026-05-21T00:00:00"/>
    <x v="1"/>
    <x v="3"/>
    <m/>
    <m/>
  </r>
  <r>
    <n v="10"/>
    <m/>
    <m/>
    <m/>
    <x v="1"/>
    <x v="6"/>
    <d v="2026-05-22T00:00:00"/>
    <x v="1"/>
    <x v="3"/>
    <m/>
    <m/>
  </r>
  <r>
    <n v="11"/>
    <m/>
    <m/>
    <m/>
    <x v="1"/>
    <x v="6"/>
    <d v="2026-05-23T00:00:00"/>
    <x v="1"/>
    <x v="3"/>
    <m/>
    <m/>
  </r>
  <r>
    <n v="12"/>
    <m/>
    <m/>
    <m/>
    <x v="1"/>
    <x v="6"/>
    <m/>
    <x v="1"/>
    <x v="3"/>
    <m/>
    <m/>
  </r>
  <r>
    <n v="13"/>
    <m/>
    <m/>
    <m/>
    <x v="1"/>
    <x v="6"/>
    <m/>
    <x v="1"/>
    <x v="3"/>
    <m/>
    <m/>
  </r>
  <r>
    <n v="14"/>
    <m/>
    <m/>
    <m/>
    <x v="1"/>
    <x v="6"/>
    <m/>
    <x v="1"/>
    <x v="3"/>
    <m/>
    <m/>
  </r>
  <r>
    <n v="15"/>
    <m/>
    <m/>
    <m/>
    <x v="1"/>
    <x v="6"/>
    <m/>
    <x v="1"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4-01T00:00:00"/>
    <s v="Imobiliária Bahia"/>
    <x v="0"/>
    <n v="3500"/>
    <x v="0"/>
    <x v="0"/>
    <n v="0"/>
    <x v="0"/>
    <s v="PIX"/>
    <s v="Pagamento Adiantado"/>
  </r>
  <r>
    <n v="2"/>
    <d v="2026-04-02T00:00:00"/>
    <s v="Coelba"/>
    <x v="1"/>
    <n v="450"/>
    <x v="1"/>
    <x v="1"/>
    <n v="0"/>
    <x v="0"/>
    <s v="Boleto"/>
    <s v="Pagamento Adiantado"/>
  </r>
  <r>
    <n v="3"/>
    <d v="2026-04-05T00:00:00"/>
    <s v="Receita Federal"/>
    <x v="2"/>
    <n v="1120"/>
    <x v="2"/>
    <x v="2"/>
    <s v="Atrasado"/>
    <x v="1"/>
    <m/>
    <s v="Pagamento Atrasado"/>
  </r>
  <r>
    <n v="4"/>
    <d v="2026-04-10T00:00:00"/>
    <s v="Papelaria Grafite"/>
    <x v="3"/>
    <n v="320"/>
    <x v="2"/>
    <x v="3"/>
    <n v="0"/>
    <x v="0"/>
    <s v="Cartão"/>
    <m/>
  </r>
  <r>
    <n v="5"/>
    <d v="2026-04-15T00:00:00"/>
    <s v="Soft Systems"/>
    <x v="4"/>
    <n v="850"/>
    <x v="3"/>
    <x v="2"/>
    <n v="23"/>
    <x v="2"/>
    <m/>
    <m/>
  </r>
  <r>
    <n v="6"/>
    <d v="2026-04-20T00:00:00"/>
    <s v="Limpeza &amp; Cia"/>
    <x v="5"/>
    <n v="1200"/>
    <x v="4"/>
    <x v="2"/>
    <n v="13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72005-0F8C-49FD-B79A-21BB804680A6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K5" firstHeaderRow="1" firstDataRow="1" firstDataCol="1" rowPageCount="1" colPageCount="1"/>
  <pivotFields count="11">
    <pivotField showAll="0"/>
    <pivotField numFmtId="14" showAll="0"/>
    <pivotField showAll="0"/>
    <pivotField axis="axisRow" showAll="0">
      <items count="7">
        <item x="0"/>
        <item x="4"/>
        <item x="1"/>
        <item x="3"/>
        <item x="5"/>
        <item x="2"/>
        <item t="default"/>
      </items>
    </pivotField>
    <pivotField dataField="1" numFmtId="44" showAll="0"/>
    <pivotField numFmtId="14"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3"/>
  </rowFields>
  <rowItems count="2">
    <i>
      <x v="5"/>
    </i>
    <i t="grand">
      <x/>
    </i>
  </rowItems>
  <colItems count="1">
    <i/>
  </colItems>
  <pageFields count="1">
    <pageField fld="8" item="2" hier="-1"/>
  </pageFields>
  <dataFields count="1">
    <dataField name="Contagem de Valor" fld="4" subtotal="count" baseField="3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DE09E-E588-4D9F-9768-9C82F97EC0B3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H8" firstHeaderRow="1" firstDataRow="1" firstDataCol="1"/>
  <pivotFields count="11">
    <pivotField showAll="0"/>
    <pivotField numFmtId="14" showAll="0"/>
    <pivotField showAll="0"/>
    <pivotField axis="axisRow" showAll="0">
      <items count="7">
        <item x="0"/>
        <item x="4"/>
        <item x="1"/>
        <item x="3"/>
        <item x="5"/>
        <item x="2"/>
        <item t="default"/>
      </items>
    </pivotField>
    <pivotField dataField="1" numFmtId="44"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" fld="4" baseField="3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2725B-D4DF-4B67-AAB8-959069578E35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D4" firstHeaderRow="1" firstDataRow="1" firstDataCol="0" rowPageCount="1" colPageCount="1"/>
  <pivotFields count="11">
    <pivotField showAll="0"/>
    <pivotField numFmtId="14" showAll="0"/>
    <pivotField showAll="0"/>
    <pivotField showAll="0"/>
    <pivotField dataField="1" numFmtId="44" showAll="0"/>
    <pivotField numFmtId="14"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</pivotFields>
  <rowItems count="1">
    <i/>
  </rowItems>
  <colItems count="1">
    <i/>
  </colItems>
  <pageFields count="1">
    <pageField fld="8" item="1" hier="-1"/>
  </pageFields>
  <dataFields count="1">
    <dataField name="Soma de Valor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204A5-B704-446C-9CA8-236C2BB491CA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11">
    <pivotField showAll="0"/>
    <pivotField numFmtId="14" showAll="0"/>
    <pivotField showAll="0"/>
    <pivotField showAll="0"/>
    <pivotField dataField="1" numFmtId="44" showAll="0"/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8" item="0" hier="-1"/>
  </pageFields>
  <dataFields count="1">
    <dataField name="Soma de Valor" fld="4" baseField="6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7AAE8-EAC9-4878-9702-DC4808A1A2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1">
    <pivotField numFmtId="1"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8" item="1" hier="-1"/>
  </pageFields>
  <dataFields count="1">
    <dataField name="Soma de Valo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0DDBB-5F16-4BDC-8628-19AC3634E2E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G6" firstHeaderRow="1" firstDataRow="1" firstDataCol="1"/>
  <pivotFields count="11">
    <pivotField numFmtI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Valo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FFF96-E0C7-441D-83DF-F7D48EE8D7D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D4" firstHeaderRow="1" firstDataRow="1" firstDataCol="0" rowPageCount="1" colPageCount="1"/>
  <pivotFields count="11">
    <pivotField numFmtId="1" showAll="0"/>
    <pivotField showAll="0"/>
    <pivotField showAll="0"/>
    <pivotField showAll="0"/>
    <pivotField showAll="0"/>
    <pivotField dataField="1" showAll="0">
      <items count="8">
        <item x="1"/>
        <item x="5"/>
        <item x="3"/>
        <item x="4"/>
        <item x="0"/>
        <item x="2"/>
        <item x="6"/>
        <item t="default"/>
      </items>
    </pivotField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</pivotFields>
  <rowItems count="1">
    <i/>
  </rowItems>
  <colItems count="1">
    <i/>
  </colItems>
  <pageFields count="1">
    <pageField fld="8" item="0" hier="-1"/>
  </pageFields>
  <dataFields count="1">
    <dataField name="Soma de Valo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6C952C-11D6-4B9D-B99C-06676C148A4E}" name="tb_pagar" displayName="tb_pagar" ref="A1:K7" totalsRowShown="0" headerRowDxfId="45" dataDxfId="44" headerRowBorderDxfId="42" tableBorderDxfId="43" totalsRowBorderDxfId="41" dataCellStyle="Moeda">
  <autoFilter ref="A1:K7" xr:uid="{1F6C952C-11D6-4B9D-B99C-06676C148A4E}"/>
  <tableColumns count="11">
    <tableColumn id="1" xr3:uid="{B49E7403-91AF-4709-B17A-F52C13668AC5}" name="ID" dataDxfId="40"/>
    <tableColumn id="2" xr3:uid="{B94AD3AD-A3E9-4C44-AEEE-3D9165EFFFA0}" name="Data de Emissão" dataDxfId="39"/>
    <tableColumn id="3" xr3:uid="{EF850384-5777-48FC-ACA9-9C11FFDA85C6}" name="Fornecedor" dataDxfId="38" dataCellStyle="Moeda"/>
    <tableColumn id="4" xr3:uid="{809F2525-BB14-4400-9141-0BD236110F00}" name="Descrição" dataDxfId="37" dataCellStyle="Moeda"/>
    <tableColumn id="5" xr3:uid="{0608AC39-C125-492D-A51E-90F5EA561A01}" name="Valor" dataDxfId="36" dataCellStyle="Moeda"/>
    <tableColumn id="6" xr3:uid="{8A533B76-A4F4-42D0-B762-2ED61B901001}" name="Vencimento" dataDxfId="35" dataCellStyle="Moeda"/>
    <tableColumn id="7" xr3:uid="{AA1A68C7-D816-492C-A29F-0D0A95949E58}" name="Data a Pagar" dataDxfId="34" dataCellStyle="Moeda"/>
    <tableColumn id="11" xr3:uid="{2180CA34-DB17-44B4-8C8F-AD910505C4F3}" name="Dias para Vencer" dataDxfId="11" dataCellStyle="Moeda">
      <calculatedColumnFormula>IF(tb_pagar[[#This Row],[Data a Pagar]]&lt;&gt;"", 0, IF(tb_pagar[[#This Row],[Vencimento]]&lt;TODAY(), "Atrasado", tb_pagar[[#This Row],[Vencimento]]-TODAY()))</calculatedColumnFormula>
    </tableColumn>
    <tableColumn id="8" xr3:uid="{B77A47A5-A177-47F4-96F7-FAA7B355C823}" name="Status" dataDxfId="33" dataCellStyle="Moeda">
      <calculatedColumnFormula>IF(G2&lt;&gt;"","Pago",IF(F2&lt;TODAY(),"Vencido","Pendente"))</calculatedColumnFormula>
    </tableColumn>
    <tableColumn id="9" xr3:uid="{ED685C5C-80B4-4006-AFB8-1B0FCD00068E}" name="Forma de Pagamento" dataDxfId="32" dataCellStyle="Moeda"/>
    <tableColumn id="10" xr3:uid="{ADD3E3F8-64E0-4606-8B21-61222A8E6DD9}" name="Observação" dataDxfId="31" dataCellStyle="Moeda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452F6-6CF4-4A1D-B1B6-186B68D32D49}" name="Tabela2" displayName="Tabela2" ref="A1:B6" totalsRowShown="0">
  <autoFilter ref="A1:B6" xr:uid="{FFD452F6-6CF4-4A1D-B1B6-186B68D32D49}"/>
  <tableColumns count="2">
    <tableColumn id="1" xr3:uid="{BD9E8EBE-4F86-4A77-9F27-BD6F7DDDD344}" name="Indicadores"/>
    <tableColumn id="2" xr3:uid="{FE6A1F53-88A1-4068-9AFB-1504DB67E1D8}" name="Valores" dataDxfId="1">
      <calculatedColumnFormula>SUMIF(tb_pagar[Status],"Pago",tb_pagar[Valor])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B421D-9A27-4472-8BC9-210831345770}" name="tb_receber" displayName="tb_receber" ref="A1:L10" totalsRowShown="0" headerRowDxfId="21" dataDxfId="20" headerRowBorderDxfId="48" tableBorderDxfId="47" totalsRowBorderDxfId="46">
  <autoFilter ref="A1:L10" xr:uid="{244B421D-9A27-4472-8BC9-210831345770}"/>
  <tableColumns count="12">
    <tableColumn id="23" xr3:uid="{1C549337-6D9C-4C1F-BCF1-E4BFE8E15B93}" name="ID" dataDxfId="30"/>
    <tableColumn id="15" xr3:uid="{43189374-B979-4CF6-B1F1-0A5DD751E7C2}" name="Data de Emissão" dataDxfId="29"/>
    <tableColumn id="16" xr3:uid="{858F2BEA-3916-4A6B-883C-EEF4FCD80CA3}" name="Cliente" dataDxfId="28"/>
    <tableColumn id="17" xr3:uid="{D12EC1F4-484F-41F8-BDB0-F4887299BC82}" name="Descrição" dataDxfId="27"/>
    <tableColumn id="21" xr3:uid="{CC0A74B2-AD95-41B1-AA3E-75B37E79D096}" name="Categoria" dataDxfId="26"/>
    <tableColumn id="18" xr3:uid="{D2C93078-B313-4E04-B6DA-AE88A54D11D0}" name="Valor" dataDxfId="25"/>
    <tableColumn id="19" xr3:uid="{850F20CD-C7EA-4564-B8B8-DE5866A5D4C9}" name="Vencimento" dataDxfId="19"/>
    <tableColumn id="1" xr3:uid="{BAA9073B-B65D-44C8-98C0-5BED5D5FF38A}" name="Dias para Vencer" dataDxfId="17" dataCellStyle="Moeda">
      <calculatedColumnFormula>G2-TODAY()</calculatedColumnFormula>
    </tableColumn>
    <tableColumn id="24" xr3:uid="{F9CADDBF-355F-4C3C-AE93-0CD1F9E124AC}" name="Data a Receber" dataDxfId="18" dataCellStyle="Moeda"/>
    <tableColumn id="20" xr3:uid="{DDB07D7C-670E-4D25-8DDF-8EDF9B288A31}" name="Status" dataDxfId="24"/>
    <tableColumn id="25" xr3:uid="{FAF9FDA9-3DD9-46D7-8405-17C4A3ED8AD5}" name="Forma de Pagamento" dataDxfId="23"/>
    <tableColumn id="26" xr3:uid="{8094ABD9-0A19-49B0-B395-E5052ED5FCBC}" name="Observação" dataDxfId="22" dataCellStyle="Moe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F555A-11B6-4753-BD4F-609C1BDCA2CA}" name="Tabela3" displayName="Tabela3" ref="A1:B6" totalsRowShown="0">
  <autoFilter ref="A1:B6" xr:uid="{8BFF555A-11B6-4753-BD4F-609C1BDCA2CA}"/>
  <tableColumns count="2">
    <tableColumn id="1" xr3:uid="{BEFF58C7-FC37-4F87-9D70-D56C70B8CC08}" name="Indicadores"/>
    <tableColumn id="2" xr3:uid="{88BD4676-DD4E-4BCD-9725-B18C65BBF286}" name="Valores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2A50-080A-4357-896A-6737C404AA5E}">
  <dimension ref="A1:K7"/>
  <sheetViews>
    <sheetView zoomScaleNormal="100" workbookViewId="0">
      <pane xSplit="2" ySplit="11" topLeftCell="F12" activePane="bottomRight" state="frozen"/>
      <selection pane="topRight" activeCell="F1" sqref="F1"/>
      <selection pane="bottomLeft" activeCell="A12" sqref="A12"/>
      <selection pane="bottomRight" sqref="A1:K7"/>
    </sheetView>
  </sheetViews>
  <sheetFormatPr defaultRowHeight="15" x14ac:dyDescent="0.25"/>
  <cols>
    <col min="1" max="1" width="8.42578125" bestFit="1" customWidth="1"/>
    <col min="2" max="2" width="24" bestFit="1" customWidth="1"/>
    <col min="3" max="3" width="18.5703125" bestFit="1" customWidth="1"/>
    <col min="4" max="4" width="24.42578125" bestFit="1" customWidth="1"/>
    <col min="5" max="5" width="12.7109375" bestFit="1" customWidth="1"/>
    <col min="6" max="6" width="19.140625" bestFit="1" customWidth="1"/>
    <col min="7" max="7" width="26.42578125" bestFit="1" customWidth="1"/>
    <col min="8" max="9" width="26.42578125" customWidth="1"/>
    <col min="10" max="10" width="29.85546875" bestFit="1" customWidth="1"/>
    <col min="11" max="11" width="23.42578125" bestFit="1" customWidth="1"/>
  </cols>
  <sheetData>
    <row r="1" spans="1:11" ht="17.25" x14ac:dyDescent="0.25">
      <c r="A1" s="21" t="s">
        <v>52</v>
      </c>
      <c r="B1" s="22" t="s">
        <v>16</v>
      </c>
      <c r="C1" s="22" t="s">
        <v>36</v>
      </c>
      <c r="D1" s="22" t="s">
        <v>18</v>
      </c>
      <c r="E1" s="22" t="s">
        <v>19</v>
      </c>
      <c r="F1" s="22" t="s">
        <v>20</v>
      </c>
      <c r="G1" s="22" t="s">
        <v>75</v>
      </c>
      <c r="H1" s="22" t="s">
        <v>71</v>
      </c>
      <c r="I1" s="22" t="s">
        <v>21</v>
      </c>
      <c r="J1" s="22" t="s">
        <v>53</v>
      </c>
      <c r="K1" s="23" t="s">
        <v>54</v>
      </c>
    </row>
    <row r="2" spans="1:11" ht="15.75" x14ac:dyDescent="0.25">
      <c r="A2" s="24">
        <v>1</v>
      </c>
      <c r="B2" s="6">
        <v>46113</v>
      </c>
      <c r="C2" s="7" t="s">
        <v>37</v>
      </c>
      <c r="D2" s="7" t="s">
        <v>38</v>
      </c>
      <c r="E2" s="25">
        <v>3500</v>
      </c>
      <c r="F2" s="8">
        <v>46125</v>
      </c>
      <c r="G2" s="33">
        <v>46124</v>
      </c>
      <c r="H2" s="34">
        <f ca="1">IF(tb_pagar[[#This Row],[Data a Pagar]]&lt;&gt;"", 0, IF(tb_pagar[[#This Row],[Vencimento]]&lt;TODAY(), "Atrasado", tb_pagar[[#This Row],[Vencimento]]-TODAY()))</f>
        <v>0</v>
      </c>
      <c r="I2" s="34" t="str">
        <f t="shared" ref="I2:I7" ca="1" si="0">IF(G2&lt;&gt;"","Pago",IF(F2&lt;TODAY(),"Vencido","Pendente"))</f>
        <v>Pago</v>
      </c>
      <c r="J2" s="36" t="s">
        <v>55</v>
      </c>
      <c r="K2" s="38" t="s">
        <v>74</v>
      </c>
    </row>
    <row r="3" spans="1:11" ht="15.75" x14ac:dyDescent="0.25">
      <c r="A3" s="24">
        <v>2</v>
      </c>
      <c r="B3" s="6">
        <v>46114</v>
      </c>
      <c r="C3" s="25" t="s">
        <v>40</v>
      </c>
      <c r="D3" s="25" t="s">
        <v>41</v>
      </c>
      <c r="E3" s="25">
        <v>450</v>
      </c>
      <c r="F3" s="8">
        <v>46130</v>
      </c>
      <c r="G3" s="8">
        <v>46127</v>
      </c>
      <c r="H3" s="34">
        <f ca="1">IF(tb_pagar[[#This Row],[Data a Pagar]]&lt;&gt;"", 0, IF(tb_pagar[[#This Row],[Vencimento]]&lt;TODAY(), "Atrasado", tb_pagar[[#This Row],[Vencimento]]-TODAY()))</f>
        <v>0</v>
      </c>
      <c r="I3" s="34" t="str">
        <f t="shared" ca="1" si="0"/>
        <v>Pago</v>
      </c>
      <c r="J3" s="36" t="s">
        <v>56</v>
      </c>
      <c r="K3" s="38" t="s">
        <v>74</v>
      </c>
    </row>
    <row r="4" spans="1:11" ht="15.75" x14ac:dyDescent="0.25">
      <c r="A4" s="24">
        <v>3</v>
      </c>
      <c r="B4" s="6">
        <v>46117</v>
      </c>
      <c r="C4" s="25" t="s">
        <v>42</v>
      </c>
      <c r="D4" s="25" t="s">
        <v>43</v>
      </c>
      <c r="E4" s="25">
        <v>1120</v>
      </c>
      <c r="F4" s="8">
        <v>46132</v>
      </c>
      <c r="G4" s="8"/>
      <c r="H4" s="34" t="str">
        <f ca="1">IF(tb_pagar[[#This Row],[Data a Pagar]]&lt;&gt;"", 0, IF(tb_pagar[[#This Row],[Vencimento]]&lt;TODAY(), "Atrasado", tb_pagar[[#This Row],[Vencimento]]-TODAY()))</f>
        <v>Atrasado</v>
      </c>
      <c r="I4" s="34" t="str">
        <f t="shared" ca="1" si="0"/>
        <v>Vencido</v>
      </c>
      <c r="J4" s="36"/>
      <c r="K4" s="38" t="s">
        <v>73</v>
      </c>
    </row>
    <row r="5" spans="1:11" ht="15.75" x14ac:dyDescent="0.25">
      <c r="A5" s="24">
        <v>4</v>
      </c>
      <c r="B5" s="6">
        <v>46122</v>
      </c>
      <c r="C5" s="25" t="s">
        <v>44</v>
      </c>
      <c r="D5" s="25" t="s">
        <v>45</v>
      </c>
      <c r="E5" s="25">
        <v>320</v>
      </c>
      <c r="F5" s="8">
        <v>46132</v>
      </c>
      <c r="G5" s="8">
        <v>46134</v>
      </c>
      <c r="H5" s="34">
        <f ca="1">IF(tb_pagar[[#This Row],[Data a Pagar]]&lt;&gt;"", 0, IF(tb_pagar[[#This Row],[Vencimento]]&lt;TODAY(), "Atrasado", tb_pagar[[#This Row],[Vencimento]]-TODAY()))</f>
        <v>0</v>
      </c>
      <c r="I5" s="34" t="str">
        <f t="shared" ca="1" si="0"/>
        <v>Pago</v>
      </c>
      <c r="J5" s="36" t="s">
        <v>72</v>
      </c>
      <c r="K5" s="38"/>
    </row>
    <row r="6" spans="1:11" ht="15.75" x14ac:dyDescent="0.25">
      <c r="A6" s="24">
        <v>5</v>
      </c>
      <c r="B6" s="6">
        <v>46127</v>
      </c>
      <c r="C6" s="25" t="s">
        <v>46</v>
      </c>
      <c r="D6" s="25" t="s">
        <v>47</v>
      </c>
      <c r="E6" s="25">
        <v>850</v>
      </c>
      <c r="F6" s="8">
        <v>46157</v>
      </c>
      <c r="G6" s="8"/>
      <c r="H6" s="34">
        <f ca="1">IF(tb_pagar[[#This Row],[Data a Pagar]]&lt;&gt;"", 0, IF(tb_pagar[[#This Row],[Vencimento]]&lt;TODAY(), "Atrasado", tb_pagar[[#This Row],[Vencimento]]-TODAY()))</f>
        <v>23</v>
      </c>
      <c r="I6" s="34" t="str">
        <f t="shared" ca="1" si="0"/>
        <v>Pendente</v>
      </c>
      <c r="J6" s="36"/>
      <c r="K6" s="38"/>
    </row>
    <row r="7" spans="1:11" ht="15.75" x14ac:dyDescent="0.25">
      <c r="A7" s="26">
        <v>6</v>
      </c>
      <c r="B7" s="12">
        <v>46132</v>
      </c>
      <c r="C7" s="27" t="s">
        <v>48</v>
      </c>
      <c r="D7" s="27" t="s">
        <v>49</v>
      </c>
      <c r="E7" s="27">
        <v>1200</v>
      </c>
      <c r="F7" s="13">
        <v>46147</v>
      </c>
      <c r="G7" s="13"/>
      <c r="H7" s="35">
        <f ca="1">IF(tb_pagar[[#This Row],[Data a Pagar]]&lt;&gt;"", 0, IF(tb_pagar[[#This Row],[Vencimento]]&lt;TODAY(), "Atrasado", tb_pagar[[#This Row],[Vencimento]]-TODAY()))</f>
        <v>13</v>
      </c>
      <c r="I7" s="35" t="str">
        <f t="shared" ca="1" si="0"/>
        <v>Pendente</v>
      </c>
      <c r="J7" s="37"/>
      <c r="K7" s="38"/>
    </row>
  </sheetData>
  <phoneticPr fontId="3" type="noConversion"/>
  <conditionalFormatting sqref="I2:I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92D050"/>
        <color rgb="FFFF0000"/>
      </colorScale>
    </cfRule>
  </conditionalFormatting>
  <conditionalFormatting sqref="I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>
        <cfvo type="percent" val="0"/>
        <cfvo type="percent" val="33"/>
        <cfvo type="percent" val="67"/>
      </iconSet>
    </cfRule>
    <cfRule type="iconSet" priority="1">
      <iconSet>
        <cfvo type="percent" val="0"/>
        <cfvo type="num" val="$I$4"/>
        <cfvo type="num" val="$I$2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FDE648C4-595A-4D11-94A0-23BFF1F41CD6}">
            <xm:f>NOT(ISERROR(SEARCH($K$4,K2)))</xm:f>
            <xm:f>$K$4</xm:f>
            <x14:dxf>
              <fill>
                <patternFill>
                  <bgColor rgb="FFFF0000"/>
                </patternFill>
              </fill>
            </x14:dxf>
          </x14:cfRule>
          <xm:sqref>K2:K7</xm:sqref>
        </x14:conditionalFormatting>
        <x14:conditionalFormatting xmlns:xm="http://schemas.microsoft.com/office/excel/2006/main">
          <x14:cfRule type="containsText" priority="6" operator="containsText" id="{1F685325-F7A3-4E59-8C16-1F49B58F8399}">
            <xm:f>NOT(ISERROR(SEARCH($K$3,K2)))</xm:f>
            <xm:f>$K$3</xm:f>
            <x14:dxf>
              <fill>
                <patternFill>
                  <bgColor rgb="FF00B0F0"/>
                </patternFill>
              </fill>
            </x14:dxf>
          </x14:cfRule>
          <xm:sqref>K2:K7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2C3D-BC64-4434-9CE8-0F1B66D18916}">
  <dimension ref="A1:K8"/>
  <sheetViews>
    <sheetView workbookViewId="0">
      <selection sqref="A1:K8"/>
    </sheetView>
  </sheetViews>
  <sheetFormatPr defaultRowHeight="15" x14ac:dyDescent="0.25"/>
  <cols>
    <col min="1" max="1" width="18" bestFit="1" customWidth="1"/>
    <col min="2" max="2" width="13.85546875" bestFit="1" customWidth="1"/>
    <col min="4" max="4" width="13.85546875" bestFit="1" customWidth="1"/>
    <col min="5" max="5" width="12" bestFit="1" customWidth="1"/>
    <col min="7" max="7" width="23" bestFit="1" customWidth="1"/>
    <col min="8" max="8" width="13.85546875" bestFit="1" customWidth="1"/>
    <col min="10" max="10" width="18" bestFit="1" customWidth="1"/>
    <col min="11" max="11" width="18.140625" bestFit="1" customWidth="1"/>
  </cols>
  <sheetData>
    <row r="1" spans="1:11" x14ac:dyDescent="0.25">
      <c r="A1" s="14" t="s">
        <v>21</v>
      </c>
      <c r="B1" t="s">
        <v>39</v>
      </c>
      <c r="D1" s="14" t="s">
        <v>21</v>
      </c>
      <c r="E1" t="s">
        <v>27</v>
      </c>
      <c r="G1" s="14" t="s">
        <v>59</v>
      </c>
      <c r="H1" t="s">
        <v>61</v>
      </c>
      <c r="J1" s="14" t="s">
        <v>21</v>
      </c>
      <c r="K1" t="s">
        <v>77</v>
      </c>
    </row>
    <row r="2" spans="1:11" x14ac:dyDescent="0.25">
      <c r="G2" s="16" t="s">
        <v>38</v>
      </c>
      <c r="H2" s="52">
        <v>3500</v>
      </c>
    </row>
    <row r="3" spans="1:11" x14ac:dyDescent="0.25">
      <c r="A3" s="14" t="s">
        <v>59</v>
      </c>
      <c r="B3" t="s">
        <v>61</v>
      </c>
      <c r="D3" t="s">
        <v>61</v>
      </c>
      <c r="G3" s="16" t="s">
        <v>47</v>
      </c>
      <c r="H3" s="52">
        <v>850</v>
      </c>
      <c r="J3" s="14" t="s">
        <v>59</v>
      </c>
      <c r="K3" t="s">
        <v>78</v>
      </c>
    </row>
    <row r="4" spans="1:11" x14ac:dyDescent="0.25">
      <c r="A4" s="15">
        <v>46124</v>
      </c>
      <c r="B4" s="52">
        <v>3500</v>
      </c>
      <c r="D4" s="52">
        <v>2050</v>
      </c>
      <c r="G4" s="16" t="s">
        <v>41</v>
      </c>
      <c r="H4" s="52">
        <v>450</v>
      </c>
      <c r="J4" s="16" t="s">
        <v>43</v>
      </c>
      <c r="K4" s="10">
        <v>1</v>
      </c>
    </row>
    <row r="5" spans="1:11" x14ac:dyDescent="0.25">
      <c r="A5" s="15">
        <v>46127</v>
      </c>
      <c r="B5" s="52">
        <v>450</v>
      </c>
      <c r="G5" s="16" t="s">
        <v>45</v>
      </c>
      <c r="H5" s="52">
        <v>320</v>
      </c>
      <c r="J5" s="16" t="s">
        <v>60</v>
      </c>
      <c r="K5" s="10">
        <v>1</v>
      </c>
    </row>
    <row r="6" spans="1:11" x14ac:dyDescent="0.25">
      <c r="A6" s="15">
        <v>46134</v>
      </c>
      <c r="B6" s="52">
        <v>320</v>
      </c>
      <c r="G6" s="16" t="s">
        <v>49</v>
      </c>
      <c r="H6" s="52">
        <v>1200</v>
      </c>
    </row>
    <row r="7" spans="1:11" x14ac:dyDescent="0.25">
      <c r="A7" s="16" t="s">
        <v>60</v>
      </c>
      <c r="B7" s="52">
        <v>4270</v>
      </c>
      <c r="G7" s="16" t="s">
        <v>43</v>
      </c>
      <c r="H7" s="52">
        <v>1120</v>
      </c>
    </row>
    <row r="8" spans="1:11" x14ac:dyDescent="0.25">
      <c r="G8" s="16" t="s">
        <v>60</v>
      </c>
      <c r="H8" s="52">
        <v>7440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FB5D-BF11-442F-BA2E-1A0B20136905}">
  <dimension ref="A1:B6"/>
  <sheetViews>
    <sheetView workbookViewId="0">
      <selection sqref="A1:B6"/>
    </sheetView>
  </sheetViews>
  <sheetFormatPr defaultRowHeight="15" x14ac:dyDescent="0.25"/>
  <cols>
    <col min="1" max="1" width="15.7109375" bestFit="1" customWidth="1"/>
    <col min="2" max="2" width="12.7109375" bestFit="1" customWidth="1"/>
  </cols>
  <sheetData>
    <row r="1" spans="1:2" x14ac:dyDescent="0.25">
      <c r="A1" t="s">
        <v>67</v>
      </c>
      <c r="B1" t="s">
        <v>68</v>
      </c>
    </row>
    <row r="2" spans="1:2" x14ac:dyDescent="0.25">
      <c r="A2" t="s">
        <v>80</v>
      </c>
      <c r="B2" s="52">
        <f ca="1">SUMIF(tb_pagar[Status],"Pago",tb_pagar[Valor])</f>
        <v>4270</v>
      </c>
    </row>
    <row r="3" spans="1:2" x14ac:dyDescent="0.25">
      <c r="A3" t="s">
        <v>79</v>
      </c>
      <c r="B3" s="52">
        <f ca="1">SUMIF(tb_pagar[Status],"Pendente",tb_pagar[Valor])</f>
        <v>2050</v>
      </c>
    </row>
    <row r="4" spans="1:2" x14ac:dyDescent="0.25">
      <c r="A4" t="s">
        <v>65</v>
      </c>
      <c r="B4" s="52">
        <f ca="1">SUMIF(tb_pagar[Status],"Vencido",tb_pagar[Valor])</f>
        <v>1120</v>
      </c>
    </row>
    <row r="5" spans="1:2" x14ac:dyDescent="0.25">
      <c r="A5" t="s">
        <v>66</v>
      </c>
      <c r="B5" s="53">
        <f ca="1">B4/B6</f>
        <v>0.17721518987341772</v>
      </c>
    </row>
    <row r="6" spans="1:2" x14ac:dyDescent="0.25">
      <c r="A6" t="s">
        <v>12</v>
      </c>
      <c r="B6" s="52">
        <f ca="1">SUM(B2,B3)</f>
        <v>6320</v>
      </c>
    </row>
  </sheetData>
  <pageMargins left="0.511811024" right="0.511811024" top="0.78740157499999996" bottom="0.78740157499999996" header="0.31496062000000002" footer="0.31496062000000002"/>
  <ignoredErrors>
    <ignoredError sqref="B3:B6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30F0-60B7-489A-9FC6-3428E6FA7C85}">
  <dimension ref="A1:L10"/>
  <sheetViews>
    <sheetView zoomScaleNormal="100" workbookViewId="0">
      <pane xSplit="1" topLeftCell="D1" activePane="topRight" state="frozen"/>
      <selection pane="topRight" sqref="A1:L10"/>
    </sheetView>
  </sheetViews>
  <sheetFormatPr defaultRowHeight="15" x14ac:dyDescent="0.25"/>
  <cols>
    <col min="1" max="1" width="7.42578125" bestFit="1" customWidth="1"/>
    <col min="2" max="2" width="20" bestFit="1" customWidth="1"/>
    <col min="3" max="3" width="20.140625" bestFit="1" customWidth="1"/>
    <col min="4" max="4" width="22.5703125" bestFit="1" customWidth="1"/>
    <col min="5" max="5" width="14" bestFit="1" customWidth="1"/>
    <col min="6" max="6" width="11.7109375" bestFit="1" customWidth="1"/>
    <col min="7" max="7" width="16.42578125" bestFit="1" customWidth="1"/>
    <col min="8" max="8" width="20.42578125" bestFit="1" customWidth="1"/>
    <col min="9" max="9" width="22.140625" bestFit="1" customWidth="1"/>
    <col min="10" max="10" width="11" bestFit="1" customWidth="1"/>
    <col min="11" max="11" width="24.5703125" bestFit="1" customWidth="1"/>
    <col min="12" max="12" width="23.42578125" bestFit="1" customWidth="1"/>
    <col min="13" max="13" width="17.85546875" bestFit="1" customWidth="1"/>
    <col min="14" max="14" width="19.85546875" bestFit="1" customWidth="1"/>
    <col min="15" max="15" width="21.140625" bestFit="1" customWidth="1"/>
    <col min="16" max="16" width="21.140625" customWidth="1"/>
    <col min="17" max="17" width="19.140625" bestFit="1" customWidth="1"/>
    <col min="18" max="18" width="22.140625" bestFit="1" customWidth="1"/>
    <col min="19" max="19" width="25.140625" bestFit="1" customWidth="1"/>
    <col min="20" max="20" width="25.140625" customWidth="1"/>
    <col min="21" max="21" width="13" bestFit="1" customWidth="1"/>
    <col min="22" max="22" width="15.7109375" customWidth="1"/>
    <col min="23" max="23" width="20.28515625" bestFit="1" customWidth="1"/>
    <col min="24" max="24" width="12.85546875" customWidth="1"/>
    <col min="25" max="25" width="23" bestFit="1" customWidth="1"/>
  </cols>
  <sheetData>
    <row r="1" spans="1:12" x14ac:dyDescent="0.25">
      <c r="A1" s="28" t="s">
        <v>52</v>
      </c>
      <c r="B1" s="30" t="s">
        <v>16</v>
      </c>
      <c r="C1" s="29" t="s">
        <v>17</v>
      </c>
      <c r="D1" s="29" t="s">
        <v>18</v>
      </c>
      <c r="E1" s="29" t="s">
        <v>50</v>
      </c>
      <c r="F1" s="31" t="s">
        <v>19</v>
      </c>
      <c r="G1" s="29" t="s">
        <v>20</v>
      </c>
      <c r="H1" s="29" t="s">
        <v>71</v>
      </c>
      <c r="I1" s="29" t="s">
        <v>76</v>
      </c>
      <c r="J1" s="29" t="s">
        <v>21</v>
      </c>
      <c r="K1" s="29" t="s">
        <v>53</v>
      </c>
      <c r="L1" s="32" t="s">
        <v>54</v>
      </c>
    </row>
    <row r="2" spans="1:12" ht="15.75" x14ac:dyDescent="0.25">
      <c r="A2" s="39">
        <v>1</v>
      </c>
      <c r="B2" s="40">
        <v>46113</v>
      </c>
      <c r="C2" s="9" t="s">
        <v>22</v>
      </c>
      <c r="D2" s="9" t="s">
        <v>23</v>
      </c>
      <c r="E2" s="9" t="s">
        <v>51</v>
      </c>
      <c r="F2" s="41">
        <v>4500</v>
      </c>
      <c r="G2" s="42">
        <v>46127</v>
      </c>
      <c r="H2" s="50">
        <f t="shared" ref="H2:H10" ca="1" si="0">G2-TODAY()</f>
        <v>-7</v>
      </c>
      <c r="I2" s="42">
        <v>46126</v>
      </c>
      <c r="J2" s="9" t="str">
        <f ca="1">IF(I2&lt;&gt;"","Recebido",IF(G2&lt;TODAY(),"Vencido","Pendente"))</f>
        <v>Recebido</v>
      </c>
      <c r="K2" s="11" t="s">
        <v>55</v>
      </c>
      <c r="L2" s="38" t="s">
        <v>58</v>
      </c>
    </row>
    <row r="3" spans="1:12" ht="15.75" x14ac:dyDescent="0.25">
      <c r="A3" s="39">
        <v>2</v>
      </c>
      <c r="B3" s="43">
        <v>46117</v>
      </c>
      <c r="C3" s="44" t="s">
        <v>25</v>
      </c>
      <c r="D3" s="44" t="s">
        <v>26</v>
      </c>
      <c r="E3" s="45" t="s">
        <v>69</v>
      </c>
      <c r="F3" s="46">
        <v>1200</v>
      </c>
      <c r="G3" s="47">
        <v>46147</v>
      </c>
      <c r="H3" s="51">
        <f t="shared" ca="1" si="0"/>
        <v>13</v>
      </c>
      <c r="I3" s="47"/>
      <c r="J3" s="9" t="str">
        <f t="shared" ref="J3:J8" ca="1" si="1">IF(I3&lt;&gt;"","Recebido",IF(G3&lt;TODAY(),"Vencido","Pendente"))</f>
        <v>Pendente</v>
      </c>
      <c r="K3" s="11"/>
      <c r="L3" s="38"/>
    </row>
    <row r="4" spans="1:12" ht="15.75" x14ac:dyDescent="0.25">
      <c r="A4" s="39">
        <v>3</v>
      </c>
      <c r="B4" s="43">
        <v>46122</v>
      </c>
      <c r="C4" s="44" t="s">
        <v>28</v>
      </c>
      <c r="D4" s="44" t="s">
        <v>29</v>
      </c>
      <c r="E4" s="45" t="s">
        <v>70</v>
      </c>
      <c r="F4" s="46">
        <v>8750</v>
      </c>
      <c r="G4" s="47">
        <v>46132</v>
      </c>
      <c r="H4" s="51">
        <f t="shared" ca="1" si="0"/>
        <v>-2</v>
      </c>
      <c r="I4" s="47">
        <v>46132</v>
      </c>
      <c r="J4" s="9" t="str">
        <f t="shared" ca="1" si="1"/>
        <v>Recebido</v>
      </c>
      <c r="K4" s="11" t="s">
        <v>56</v>
      </c>
      <c r="L4" s="38"/>
    </row>
    <row r="5" spans="1:12" ht="15.75" x14ac:dyDescent="0.25">
      <c r="A5" s="39">
        <v>4</v>
      </c>
      <c r="B5" s="43">
        <v>46124</v>
      </c>
      <c r="C5" s="44" t="s">
        <v>30</v>
      </c>
      <c r="D5" s="44" t="s">
        <v>31</v>
      </c>
      <c r="E5" s="45" t="s">
        <v>51</v>
      </c>
      <c r="F5" s="46">
        <v>2300</v>
      </c>
      <c r="G5" s="47">
        <v>46154</v>
      </c>
      <c r="H5" s="51">
        <f t="shared" ca="1" si="0"/>
        <v>20</v>
      </c>
      <c r="I5" s="47">
        <v>46140</v>
      </c>
      <c r="J5" s="9" t="str">
        <f t="shared" ca="1" si="1"/>
        <v>Recebido</v>
      </c>
      <c r="K5" s="11" t="s">
        <v>57</v>
      </c>
      <c r="L5" s="38"/>
    </row>
    <row r="6" spans="1:12" ht="15.75" x14ac:dyDescent="0.25">
      <c r="A6" s="39">
        <v>5</v>
      </c>
      <c r="B6" s="43">
        <v>46127</v>
      </c>
      <c r="C6" s="44" t="s">
        <v>32</v>
      </c>
      <c r="D6" s="44" t="s">
        <v>33</v>
      </c>
      <c r="E6" s="44" t="s">
        <v>51</v>
      </c>
      <c r="F6" s="46">
        <v>3100</v>
      </c>
      <c r="G6" s="47">
        <v>46127</v>
      </c>
      <c r="H6" s="51">
        <f t="shared" ca="1" si="0"/>
        <v>-7</v>
      </c>
      <c r="I6" s="47"/>
      <c r="J6" s="9" t="str">
        <f t="shared" ca="1" si="1"/>
        <v>Vencido</v>
      </c>
      <c r="K6" s="11"/>
      <c r="L6" s="38" t="s">
        <v>73</v>
      </c>
    </row>
    <row r="7" spans="1:12" ht="15.75" x14ac:dyDescent="0.25">
      <c r="A7" s="39">
        <v>6</v>
      </c>
      <c r="B7" s="40">
        <v>46130</v>
      </c>
      <c r="C7" s="36" t="s">
        <v>34</v>
      </c>
      <c r="D7" s="36" t="s">
        <v>35</v>
      </c>
      <c r="E7" s="36" t="s">
        <v>70</v>
      </c>
      <c r="F7" s="48">
        <v>1850</v>
      </c>
      <c r="G7" s="42">
        <v>46160</v>
      </c>
      <c r="H7" s="50">
        <f t="shared" ca="1" si="0"/>
        <v>26</v>
      </c>
      <c r="I7" s="42"/>
      <c r="J7" s="9" t="str">
        <f t="shared" ca="1" si="1"/>
        <v>Pendente</v>
      </c>
      <c r="K7" s="11"/>
      <c r="L7" s="38"/>
    </row>
    <row r="8" spans="1:12" ht="15.75" x14ac:dyDescent="0.25">
      <c r="A8" s="39">
        <v>7</v>
      </c>
      <c r="B8" s="40">
        <v>46131</v>
      </c>
      <c r="C8" s="11" t="s">
        <v>30</v>
      </c>
      <c r="D8" s="11" t="s">
        <v>31</v>
      </c>
      <c r="E8" s="11" t="s">
        <v>69</v>
      </c>
      <c r="F8" s="49">
        <v>2985</v>
      </c>
      <c r="G8" s="42">
        <v>46161</v>
      </c>
      <c r="H8" s="50">
        <f t="shared" ca="1" si="0"/>
        <v>27</v>
      </c>
      <c r="I8" s="47">
        <v>46141</v>
      </c>
      <c r="J8" s="9" t="str">
        <f t="shared" ca="1" si="1"/>
        <v>Recebido</v>
      </c>
      <c r="K8" s="11"/>
      <c r="L8" s="38"/>
    </row>
    <row r="9" spans="1:12" ht="15.75" x14ac:dyDescent="0.25">
      <c r="A9" s="39">
        <v>8</v>
      </c>
      <c r="B9" s="40">
        <v>46132</v>
      </c>
      <c r="C9" s="45" t="s">
        <v>32</v>
      </c>
      <c r="D9" s="11" t="s">
        <v>33</v>
      </c>
      <c r="E9" s="11" t="s">
        <v>51</v>
      </c>
      <c r="F9" s="49">
        <v>3987</v>
      </c>
      <c r="G9" s="42">
        <v>46162</v>
      </c>
      <c r="H9" s="50">
        <f t="shared" ca="1" si="0"/>
        <v>28</v>
      </c>
      <c r="I9" s="42"/>
      <c r="J9" s="11"/>
      <c r="K9" s="11"/>
      <c r="L9" s="38"/>
    </row>
    <row r="10" spans="1:12" ht="15.75" x14ac:dyDescent="0.25">
      <c r="A10" s="39">
        <v>9</v>
      </c>
      <c r="B10" s="40">
        <v>46133</v>
      </c>
      <c r="C10" s="45" t="s">
        <v>34</v>
      </c>
      <c r="D10" s="11" t="s">
        <v>35</v>
      </c>
      <c r="E10" s="11" t="s">
        <v>70</v>
      </c>
      <c r="F10" s="49">
        <v>4778</v>
      </c>
      <c r="G10" s="42">
        <v>46163</v>
      </c>
      <c r="H10" s="50">
        <f t="shared" ca="1" si="0"/>
        <v>29</v>
      </c>
      <c r="I10" s="42"/>
      <c r="J10" s="11"/>
      <c r="K10" s="11"/>
      <c r="L10" s="38"/>
    </row>
  </sheetData>
  <conditionalFormatting sqref="B2:B4">
    <cfRule type="timePeriod" dxfId="16" priority="3" timePeriod="lastWeek">
      <formula>AND(TODAY()-ROUNDDOWN(B2,0)&gt;=(WEEKDAY(TODAY())),TODAY()-ROUNDDOWN(B2,0)&lt;(WEEKDAY(TODAY())+7))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A718FBC-6533-46CC-9D30-F08141F00F95}">
            <xm:f>NOT(ISERROR(SEARCH($L$4,L2)))</xm:f>
            <xm:f>$L$4</xm:f>
            <x14:dxf>
              <fill>
                <patternFill>
                  <bgColor rgb="FFFF0000"/>
                </patternFill>
              </fill>
            </x14:dxf>
          </x14:cfRule>
          <xm:sqref>L2:L10</xm:sqref>
        </x14:conditionalFormatting>
        <x14:conditionalFormatting xmlns:xm="http://schemas.microsoft.com/office/excel/2006/main">
          <x14:cfRule type="containsText" priority="1" operator="containsText" id="{85C3F29B-E8E8-41DF-9D6F-1549D35E2CB7}">
            <xm:f>NOT(ISERROR(SEARCH($L$3,L2)))</xm:f>
            <xm:f>$L$3</xm:f>
            <x14:dxf>
              <fill>
                <patternFill>
                  <bgColor rgb="FF00B0F0"/>
                </patternFill>
              </fill>
            </x14:dxf>
          </x14:cfRule>
          <xm:sqref>L2:L10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A4AF-42F8-421F-9864-4B52AFA5A7CC}">
  <dimension ref="A1:G6"/>
  <sheetViews>
    <sheetView topLeftCell="A2" zoomScale="90" zoomScaleNormal="90" workbookViewId="0">
      <selection activeCell="A3" sqref="A3:G6"/>
    </sheetView>
  </sheetViews>
  <sheetFormatPr defaultRowHeight="15" x14ac:dyDescent="0.25"/>
  <cols>
    <col min="1" max="1" width="18.140625" bestFit="1" customWidth="1"/>
    <col min="2" max="2" width="13.85546875" bestFit="1" customWidth="1"/>
    <col min="3" max="3" width="14.42578125" customWidth="1"/>
    <col min="4" max="4" width="13.85546875" bestFit="1" customWidth="1"/>
    <col min="5" max="5" width="12" bestFit="1" customWidth="1"/>
    <col min="6" max="6" width="18.140625" bestFit="1" customWidth="1"/>
    <col min="7" max="7" width="13.85546875" bestFit="1" customWidth="1"/>
  </cols>
  <sheetData>
    <row r="1" spans="1:7" x14ac:dyDescent="0.25">
      <c r="A1" s="14" t="s">
        <v>21</v>
      </c>
      <c r="B1" t="s">
        <v>24</v>
      </c>
      <c r="D1" s="14" t="s">
        <v>21</v>
      </c>
      <c r="E1" t="s">
        <v>27</v>
      </c>
    </row>
    <row r="3" spans="1:7" x14ac:dyDescent="0.25">
      <c r="A3" s="14" t="s">
        <v>59</v>
      </c>
      <c r="B3" t="s">
        <v>61</v>
      </c>
      <c r="D3" t="s">
        <v>61</v>
      </c>
      <c r="F3" s="14" t="s">
        <v>59</v>
      </c>
      <c r="G3" t="s">
        <v>61</v>
      </c>
    </row>
    <row r="4" spans="1:7" x14ac:dyDescent="0.25">
      <c r="A4" s="15">
        <v>46126</v>
      </c>
      <c r="B4" s="10">
        <v>4500</v>
      </c>
      <c r="D4" s="10">
        <v>8450</v>
      </c>
      <c r="F4" s="16" t="s">
        <v>51</v>
      </c>
      <c r="G4" s="10">
        <v>4500</v>
      </c>
    </row>
    <row r="5" spans="1:7" x14ac:dyDescent="0.25">
      <c r="A5" s="15">
        <v>46132</v>
      </c>
      <c r="B5" s="10">
        <v>8750</v>
      </c>
      <c r="F5" s="16" t="s">
        <v>62</v>
      </c>
      <c r="G5" s="10">
        <v>17200</v>
      </c>
    </row>
    <row r="6" spans="1:7" x14ac:dyDescent="0.25">
      <c r="A6" s="16" t="s">
        <v>60</v>
      </c>
      <c r="B6" s="10">
        <v>13250</v>
      </c>
      <c r="F6" s="16" t="s">
        <v>60</v>
      </c>
      <c r="G6" s="10">
        <v>21700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B940-53B3-4E56-AAE4-4FDBB4FCB446}">
  <dimension ref="A1:E6"/>
  <sheetViews>
    <sheetView tabSelected="1" workbookViewId="0">
      <selection activeCell="F5" sqref="F5"/>
    </sheetView>
  </sheetViews>
  <sheetFormatPr defaultRowHeight="15" x14ac:dyDescent="0.25"/>
  <cols>
    <col min="1" max="1" width="15.7109375" bestFit="1" customWidth="1"/>
    <col min="2" max="2" width="15.28515625" bestFit="1" customWidth="1"/>
  </cols>
  <sheetData>
    <row r="1" spans="1:5" x14ac:dyDescent="0.25">
      <c r="A1" t="s">
        <v>67</v>
      </c>
      <c r="B1" s="18" t="s">
        <v>68</v>
      </c>
    </row>
    <row r="2" spans="1:5" x14ac:dyDescent="0.25">
      <c r="A2" s="17" t="s">
        <v>63</v>
      </c>
      <c r="B2" s="54">
        <f ca="1">SUMIF(tb_receber[Status],"Recebido",tb_receber[Valor])</f>
        <v>18535</v>
      </c>
      <c r="C2" s="17"/>
      <c r="D2" s="17"/>
      <c r="E2" s="17"/>
    </row>
    <row r="3" spans="1:5" x14ac:dyDescent="0.25">
      <c r="A3" s="17" t="s">
        <v>64</v>
      </c>
      <c r="B3" s="54">
        <f ca="1">SUMIF(tb_receber[Status],"Pendente",tb_receber[Valor])</f>
        <v>3050</v>
      </c>
      <c r="C3" s="17"/>
      <c r="D3" s="17"/>
      <c r="E3" s="17"/>
    </row>
    <row r="4" spans="1:5" x14ac:dyDescent="0.25">
      <c r="A4" t="s">
        <v>65</v>
      </c>
      <c r="B4" s="18">
        <f ca="1">SUMIF(tb_receber[Status],"Vencido",tb_receber[Valor])</f>
        <v>3100</v>
      </c>
    </row>
    <row r="5" spans="1:5" x14ac:dyDescent="0.25">
      <c r="A5" t="s">
        <v>66</v>
      </c>
      <c r="B5" s="20">
        <f ca="1">B4/B6</f>
        <v>0.14361825341672457</v>
      </c>
      <c r="C5" s="19"/>
    </row>
    <row r="6" spans="1:5" x14ac:dyDescent="0.25">
      <c r="A6" t="s">
        <v>12</v>
      </c>
      <c r="B6" s="18">
        <f ca="1">SUM(B2,B3)</f>
        <v>21585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E33D-B49E-415F-811E-0A8965704324}">
  <dimension ref="A1:B14"/>
  <sheetViews>
    <sheetView showGridLines="0" workbookViewId="0">
      <selection activeCell="A21" sqref="A21"/>
    </sheetView>
  </sheetViews>
  <sheetFormatPr defaultRowHeight="15" x14ac:dyDescent="0.25"/>
  <cols>
    <col min="1" max="1" width="18.42578125" bestFit="1" customWidth="1"/>
    <col min="2" max="2" width="18" bestFit="1" customWidth="1"/>
    <col min="3" max="3" width="24.7109375" bestFit="1" customWidth="1"/>
  </cols>
  <sheetData>
    <row r="1" spans="1:2" ht="17.25" x14ac:dyDescent="0.3">
      <c r="A1" s="3" t="s">
        <v>14</v>
      </c>
      <c r="B1" s="3" t="s">
        <v>15</v>
      </c>
    </row>
    <row r="2" spans="1:2" x14ac:dyDescent="0.25">
      <c r="A2" s="4" t="s">
        <v>0</v>
      </c>
      <c r="B2" s="1" t="e">
        <f>'Contas a Receber'!#REF!-'Contas a Pagar'!#REF!</f>
        <v>#REF!</v>
      </c>
    </row>
    <row r="3" spans="1:2" x14ac:dyDescent="0.25">
      <c r="A3" s="4" t="s">
        <v>1</v>
      </c>
      <c r="B3" s="1" t="e">
        <f>'Contas a Receber'!#REF!-'Contas a Pagar'!#REF!</f>
        <v>#REF!</v>
      </c>
    </row>
    <row r="4" spans="1:2" x14ac:dyDescent="0.25">
      <c r="A4" s="4" t="s">
        <v>2</v>
      </c>
      <c r="B4" s="1" t="e">
        <f>'Contas a Receber'!#REF!-'Contas a Pagar'!#REF!</f>
        <v>#REF!</v>
      </c>
    </row>
    <row r="5" spans="1:2" x14ac:dyDescent="0.25">
      <c r="A5" s="4" t="s">
        <v>3</v>
      </c>
      <c r="B5" s="1" t="e">
        <f>'Contas a Receber'!#REF!-'Contas a Pagar'!#REF!</f>
        <v>#REF!</v>
      </c>
    </row>
    <row r="6" spans="1:2" x14ac:dyDescent="0.25">
      <c r="A6" s="4" t="s">
        <v>4</v>
      </c>
      <c r="B6" s="1" t="e">
        <f>'Contas a Receber'!#REF!-'Contas a Pagar'!#REF!</f>
        <v>#REF!</v>
      </c>
    </row>
    <row r="7" spans="1:2" x14ac:dyDescent="0.25">
      <c r="A7" s="4" t="s">
        <v>5</v>
      </c>
      <c r="B7" s="1" t="e">
        <f>'Contas a Receber'!#REF!-'Contas a Pagar'!#REF!</f>
        <v>#REF!</v>
      </c>
    </row>
    <row r="8" spans="1:2" x14ac:dyDescent="0.25">
      <c r="A8" s="4" t="s">
        <v>6</v>
      </c>
      <c r="B8" s="1" t="e">
        <f>'Contas a Receber'!#REF!-'Contas a Pagar'!#REF!</f>
        <v>#REF!</v>
      </c>
    </row>
    <row r="9" spans="1:2" x14ac:dyDescent="0.25">
      <c r="A9" s="4" t="s">
        <v>7</v>
      </c>
      <c r="B9" s="1" t="e">
        <f>'Contas a Receber'!#REF!-'Contas a Pagar'!#REF!</f>
        <v>#REF!</v>
      </c>
    </row>
    <row r="10" spans="1:2" x14ac:dyDescent="0.25">
      <c r="A10" s="4" t="s">
        <v>8</v>
      </c>
      <c r="B10" s="1" t="e">
        <f>'Contas a Receber'!#REF!-'Contas a Pagar'!#REF!</f>
        <v>#REF!</v>
      </c>
    </row>
    <row r="11" spans="1:2" x14ac:dyDescent="0.25">
      <c r="A11" s="4" t="s">
        <v>9</v>
      </c>
      <c r="B11" s="1" t="e">
        <f>'Contas a Receber'!#REF!-'Contas a Pagar'!#REF!</f>
        <v>#REF!</v>
      </c>
    </row>
    <row r="12" spans="1:2" x14ac:dyDescent="0.25">
      <c r="A12" s="4" t="s">
        <v>10</v>
      </c>
      <c r="B12" s="1" t="e">
        <f>'Contas a Receber'!#REF!-'Contas a Pagar'!#REF!</f>
        <v>#REF!</v>
      </c>
    </row>
    <row r="13" spans="1:2" x14ac:dyDescent="0.25">
      <c r="A13" s="4" t="s">
        <v>11</v>
      </c>
      <c r="B13" s="1" t="e">
        <f>'Contas a Receber'!#REF!-'Contas a Pagar'!#REF!</f>
        <v>#REF!</v>
      </c>
    </row>
    <row r="14" spans="1:2" x14ac:dyDescent="0.25">
      <c r="A14" s="5" t="s">
        <v>13</v>
      </c>
      <c r="B14" s="2" t="e">
        <f>'Contas a Receber'!#REF!-'Contas a Pagar'!#REF!</f>
        <v>#REF!</v>
      </c>
    </row>
  </sheetData>
  <phoneticPr fontId="3" type="noConversion"/>
  <conditionalFormatting sqref="B2:B1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Contas a Pagar</vt:lpstr>
      <vt:lpstr>Resumo-Pagar</vt:lpstr>
      <vt:lpstr>Indicadores-Pagar</vt:lpstr>
      <vt:lpstr>Contas a Receber</vt:lpstr>
      <vt:lpstr>Resumo-Receber</vt:lpstr>
      <vt:lpstr>Indicadores-Receber</vt:lpstr>
      <vt:lpstr>Resumo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Thomaz</dc:creator>
  <cp:lastModifiedBy>Edson Júnior</cp:lastModifiedBy>
  <dcterms:created xsi:type="dcterms:W3CDTF">2022-07-28T01:12:10Z</dcterms:created>
  <dcterms:modified xsi:type="dcterms:W3CDTF">2026-04-22T19:15:56Z</dcterms:modified>
</cp:coreProperties>
</file>